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ocuments\"/>
    </mc:Choice>
  </mc:AlternateContent>
  <xr:revisionPtr revIDLastSave="0" documentId="13_ncr:1_{263A8451-A888-4EAD-9DD0-5B01785DAB59}" xr6:coauthVersionLast="47" xr6:coauthVersionMax="47" xr10:uidLastSave="{00000000-0000-0000-0000-000000000000}"/>
  <bookViews>
    <workbookView xWindow="-120" yWindow="-120" windowWidth="20730" windowHeight="11040" xr2:uid="{48643D15-147F-4A7E-BA39-32ABC1AE250E}"/>
  </bookViews>
  <sheets>
    <sheet name="Result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1" l="1" a="1"/>
  <c r="M4" i="1" s="1"/>
  <c r="M7" i="1" a="1"/>
  <c r="M7" i="1" s="1"/>
  <c r="M15" i="1" a="1"/>
  <c r="M15" i="1" s="1"/>
  <c r="M23" i="1" a="1"/>
  <c r="M23" i="1" s="1"/>
  <c r="K7" i="1" a="1"/>
  <c r="K7" i="1" s="1"/>
  <c r="K15" i="1" a="1"/>
  <c r="K15" i="1" s="1"/>
  <c r="K23" i="1" a="1"/>
  <c r="K23" i="1" s="1"/>
  <c r="J6" i="1"/>
  <c r="L6" i="1" s="1"/>
  <c r="L4" i="1"/>
  <c r="L7" i="1"/>
  <c r="L11" i="1"/>
  <c r="L15" i="1"/>
  <c r="L19" i="1"/>
  <c r="L23" i="1"/>
  <c r="L3" i="1"/>
  <c r="J23" i="1"/>
  <c r="J22" i="1"/>
  <c r="L22" i="1" s="1"/>
  <c r="J21" i="1"/>
  <c r="M21" i="1" s="1" a="1"/>
  <c r="M21" i="1" s="1"/>
  <c r="J20" i="1"/>
  <c r="M20" i="1" s="1" a="1"/>
  <c r="M20" i="1" s="1"/>
  <c r="J19" i="1"/>
  <c r="M19" i="1" s="1" a="1"/>
  <c r="M19" i="1" s="1"/>
  <c r="J18" i="1"/>
  <c r="M18" i="1" s="1" a="1"/>
  <c r="M18" i="1" s="1"/>
  <c r="J17" i="1"/>
  <c r="L17" i="1" s="1"/>
  <c r="J16" i="1"/>
  <c r="L16" i="1" s="1"/>
  <c r="J15" i="1"/>
  <c r="J14" i="1"/>
  <c r="L14" i="1" s="1"/>
  <c r="J13" i="1"/>
  <c r="M13" i="1" s="1" a="1"/>
  <c r="M13" i="1" s="1"/>
  <c r="J12" i="1"/>
  <c r="M12" i="1" s="1" a="1"/>
  <c r="M12" i="1" s="1"/>
  <c r="J11" i="1"/>
  <c r="M11" i="1" s="1" a="1"/>
  <c r="M11" i="1" s="1"/>
  <c r="J10" i="1"/>
  <c r="M10" i="1" s="1" a="1"/>
  <c r="M10" i="1" s="1"/>
  <c r="J9" i="1"/>
  <c r="L9" i="1" s="1"/>
  <c r="J8" i="1"/>
  <c r="L8" i="1" s="1"/>
  <c r="J5" i="1"/>
  <c r="M5" i="1" s="1" a="1"/>
  <c r="M5" i="1" s="1"/>
  <c r="J4" i="1"/>
  <c r="K4" i="1" s="1" a="1"/>
  <c r="K4" i="1" s="1"/>
  <c r="J3" i="1"/>
  <c r="M3" i="1" s="1" a="1"/>
  <c r="M3" i="1" s="1"/>
  <c r="K20" i="1" l="1" a="1"/>
  <c r="K20" i="1" s="1"/>
  <c r="K22" i="1" a="1"/>
  <c r="K22" i="1" s="1"/>
  <c r="K17" i="1" a="1"/>
  <c r="K17" i="1" s="1"/>
  <c r="K14" i="1" a="1"/>
  <c r="K14" i="1" s="1"/>
  <c r="K9" i="1" a="1"/>
  <c r="K9" i="1" s="1"/>
  <c r="K6" i="1" a="1"/>
  <c r="K6" i="1" s="1"/>
  <c r="M22" i="1" a="1"/>
  <c r="M22" i="1" s="1"/>
  <c r="M17" i="1" a="1"/>
  <c r="M17" i="1" s="1"/>
  <c r="M14" i="1" a="1"/>
  <c r="M14" i="1" s="1"/>
  <c r="M9" i="1" a="1"/>
  <c r="M9" i="1" s="1"/>
  <c r="M6" i="1" a="1"/>
  <c r="M6" i="1" s="1"/>
  <c r="L20" i="1"/>
  <c r="L12" i="1"/>
  <c r="K12" i="1" a="1"/>
  <c r="K12" i="1" s="1"/>
  <c r="L18" i="1"/>
  <c r="L10" i="1"/>
  <c r="K3" i="1" a="1"/>
  <c r="K3" i="1" s="1"/>
  <c r="K19" i="1" a="1"/>
  <c r="K19" i="1" s="1"/>
  <c r="K16" i="1" a="1"/>
  <c r="K16" i="1" s="1"/>
  <c r="K11" i="1" a="1"/>
  <c r="K11" i="1" s="1"/>
  <c r="K8" i="1" a="1"/>
  <c r="K8" i="1" s="1"/>
  <c r="M16" i="1" a="1"/>
  <c r="M16" i="1" s="1"/>
  <c r="M8" i="1" a="1"/>
  <c r="M8" i="1" s="1"/>
  <c r="L21" i="1"/>
  <c r="L13" i="1"/>
  <c r="L5" i="1"/>
  <c r="K21" i="1" a="1"/>
  <c r="K21" i="1" s="1"/>
  <c r="K18" i="1" a="1"/>
  <c r="K18" i="1" s="1"/>
  <c r="K13" i="1" a="1"/>
  <c r="K13" i="1" s="1"/>
  <c r="K10" i="1" a="1"/>
  <c r="K10" i="1" s="1"/>
  <c r="K5" i="1" a="1"/>
  <c r="K5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<sst xmlns="http://schemas.openxmlformats.org/spreadsheetml/2006/main" count="98" uniqueCount="75">
  <si>
    <t xml:space="preserve">GRADE 12 BIOLOGY EXAMINATION RECORD </t>
  </si>
  <si>
    <t>REG NO</t>
  </si>
  <si>
    <t>FIRST NAME</t>
  </si>
  <si>
    <t>MIDDLE NAME</t>
  </si>
  <si>
    <t>LAST NAME</t>
  </si>
  <si>
    <t>FIRST TEST</t>
  </si>
  <si>
    <t>SEDOND TEST</t>
  </si>
  <si>
    <t>THIRD TEST</t>
  </si>
  <si>
    <t>EXAM</t>
  </si>
  <si>
    <t>TOTAL</t>
  </si>
  <si>
    <t>GRADE</t>
  </si>
  <si>
    <t>REMARK</t>
  </si>
  <si>
    <t>Emmanuel</t>
  </si>
  <si>
    <t>Valentine</t>
  </si>
  <si>
    <t>Genus</t>
  </si>
  <si>
    <t>Joshua</t>
  </si>
  <si>
    <t>Ifesinachi</t>
  </si>
  <si>
    <t>Ikedi</t>
  </si>
  <si>
    <t>Excellent</t>
  </si>
  <si>
    <t>Chibueze</t>
  </si>
  <si>
    <t>kamsiyochukwu</t>
  </si>
  <si>
    <t>Goodluck</t>
  </si>
  <si>
    <t>Francis</t>
  </si>
  <si>
    <t>Chizitere</t>
  </si>
  <si>
    <t>Godwithus</t>
  </si>
  <si>
    <t>Daniel</t>
  </si>
  <si>
    <t>Gift</t>
  </si>
  <si>
    <t>Phina</t>
  </si>
  <si>
    <t>Chimamanda</t>
  </si>
  <si>
    <t>Verginia</t>
  </si>
  <si>
    <t>Chizaramekpere</t>
  </si>
  <si>
    <t>Arinzechukwu</t>
  </si>
  <si>
    <t>Ojoma</t>
  </si>
  <si>
    <t>Emelda</t>
  </si>
  <si>
    <t>Chimaobi</t>
  </si>
  <si>
    <t>Gregory</t>
  </si>
  <si>
    <t>Rita</t>
  </si>
  <si>
    <t>Chukwuemeka</t>
  </si>
  <si>
    <t>Chidubem</t>
  </si>
  <si>
    <t>Verity</t>
  </si>
  <si>
    <t>Wisdom</t>
  </si>
  <si>
    <t>Oluebube</t>
  </si>
  <si>
    <t>Chikamso</t>
  </si>
  <si>
    <t>Mary</t>
  </si>
  <si>
    <t>Chinyere</t>
  </si>
  <si>
    <t>Chimbuchi</t>
  </si>
  <si>
    <t>Mmaduabuchi</t>
  </si>
  <si>
    <t>Amarachukwu</t>
  </si>
  <si>
    <t>Umeodinka</t>
  </si>
  <si>
    <t>Uwaoma</t>
  </si>
  <si>
    <t>Nwobodo</t>
  </si>
  <si>
    <t>Nnaka</t>
  </si>
  <si>
    <t>Nwoye</t>
  </si>
  <si>
    <t>Nwosu</t>
  </si>
  <si>
    <t>Nnaji</t>
  </si>
  <si>
    <t>Nnalue</t>
  </si>
  <si>
    <t>Ndimka</t>
  </si>
  <si>
    <t>Onyeba</t>
  </si>
  <si>
    <t>Onyebuchi</t>
  </si>
  <si>
    <t>Omeje</t>
  </si>
  <si>
    <t>Igboanyika</t>
  </si>
  <si>
    <t>Ezemgba</t>
  </si>
  <si>
    <t>Chukwunonso</t>
  </si>
  <si>
    <t>Chigbata</t>
  </si>
  <si>
    <t>Areh</t>
  </si>
  <si>
    <t>Amaechi</t>
  </si>
  <si>
    <t>Aghaugo</t>
  </si>
  <si>
    <t>Chiemerie</t>
  </si>
  <si>
    <t>Henry</t>
  </si>
  <si>
    <t>Iwuala</t>
  </si>
  <si>
    <t>Eze</t>
  </si>
  <si>
    <t>REMARKS</t>
  </si>
  <si>
    <t>GENDER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</si>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</sst>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0" xfId="0" applyFont="1" applyFill="1"/>
    <xf numFmtId="0" fontId="1" fillId="2" borderId="0" xfId="0" applyFont="1" applyFill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CF6F7-2B1D-4972-B793-0B5DEC7F8BA7}">
  <dimension ref="A1:M23"/>
  <sheetViews>
    <sheetView tabSelected="1" workbookViewId="0">
      <selection activeCell="O6" sqref="O6"/>
    </sheetView>
  </sheetViews>
  <sheetFormatPr defaultRowHeight="15" x14ac:dyDescent="0.25"/>
  <cols>
    <col min="2" max="2" width="15.140625" customWidth="1"/>
    <col min="3" max="3" width="18.7109375" customWidth="1"/>
    <col min="4" max="4" width="14.28515625" customWidth="1"/>
    <col min="5" max="5" width="8.7109375" customWidth="1"/>
    <col min="6" max="6" width="16.140625" customWidth="1"/>
    <col min="7" max="7" width="14.7109375" customWidth="1"/>
    <col min="8" max="8" width="13" customWidth="1"/>
    <col min="12" max="12" width="10.28515625" customWidth="1"/>
    <col min="13" max="13" width="9.7109375" customWidth="1"/>
  </cols>
  <sheetData>
    <row r="1" spans="1:13" ht="2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3" ht="15.7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72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71</v>
      </c>
    </row>
    <row r="3" spans="1:13" x14ac:dyDescent="0.25">
      <c r="A3" s="3">
        <v>1001</v>
      </c>
      <c r="B3" s="3" t="s">
        <v>13</v>
      </c>
      <c r="C3" s="3" t="s">
        <v>23</v>
      </c>
      <c r="D3" s="3" t="s">
        <v>66</v>
      </c>
      <c r="E3" s="3" t="s">
        <v>73</v>
      </c>
      <c r="F3" s="3">
        <v>7</v>
      </c>
      <c r="G3" s="3">
        <v>6</v>
      </c>
      <c r="H3" s="3">
        <v>10</v>
      </c>
      <c r="I3" s="3">
        <v>30</v>
      </c>
      <c r="J3" s="3">
        <f>F3+G3+H3+I3</f>
        <v>53</v>
      </c>
      <c r="K3" s="3" t="str" cm="1">
        <f t="array" ref="K3">_xlfn.IFS(J3&gt;=70,"A",J3&gt;=60,"B",J3&gt;=50,"C",J3&gt;=40,"P",J3&gt;=0,"F")</f>
        <v>C</v>
      </c>
      <c r="L3" s="3" t="str">
        <f>IF(J3&gt;=50,"Promoted","Repeated")</f>
        <v>Promoted</v>
      </c>
      <c r="M3" s="3" t="str" cm="1">
        <f t="array" ref="M3">_xlfn.IFS(J3&gt;=70,"Excellent",J3&gt;=60,"Good",J3&gt;=50,"Credit",J3&gt;=40,"Pass",J3&gt;=0,"Fail")</f>
        <v>Credit</v>
      </c>
    </row>
    <row r="4" spans="1:13" x14ac:dyDescent="0.25">
      <c r="A4" s="3">
        <v>1002</v>
      </c>
      <c r="B4" s="3" t="s">
        <v>12</v>
      </c>
      <c r="C4" s="3" t="s">
        <v>31</v>
      </c>
      <c r="D4" s="3" t="s">
        <v>65</v>
      </c>
      <c r="E4" s="3" t="s">
        <v>73</v>
      </c>
      <c r="F4" s="3">
        <v>10</v>
      </c>
      <c r="G4" s="3">
        <v>8</v>
      </c>
      <c r="H4" s="3">
        <v>18</v>
      </c>
      <c r="I4" s="3">
        <v>53</v>
      </c>
      <c r="J4" s="3">
        <f>F4+G4+H4+I4</f>
        <v>89</v>
      </c>
      <c r="K4" s="3" t="str" cm="1">
        <f t="array" ref="K4">_xlfn.IFS(J4&gt;=70,"A",J4&gt;=60,"B",J4&gt;=50,"C",J4&gt;=40,"P",J4&gt;=0,"F")</f>
        <v>A</v>
      </c>
      <c r="L4" s="3" t="str">
        <f t="shared" ref="L4:L23" si="0">IF(J4&gt;=50,"Promoted","Repeated")</f>
        <v>Promoted</v>
      </c>
      <c r="M4" s="3" t="str" cm="1">
        <f t="array" ref="M4">_xlfn.IFS(J4&gt;=70,"Excellent",J4&gt;=60,"Good",J4&gt;=50,"Credit",J4&gt;=40,"Pass",J4&gt;=0,"Fail")</f>
        <v>Excellent</v>
      </c>
    </row>
    <row r="5" spans="1:13" x14ac:dyDescent="0.25">
      <c r="A5" s="3">
        <v>1003</v>
      </c>
      <c r="B5" s="3" t="s">
        <v>14</v>
      </c>
      <c r="C5" s="3" t="s">
        <v>30</v>
      </c>
      <c r="D5" s="3" t="s">
        <v>64</v>
      </c>
      <c r="E5" s="3" t="s">
        <v>74</v>
      </c>
      <c r="F5" s="3">
        <v>8</v>
      </c>
      <c r="G5" s="3">
        <v>5</v>
      </c>
      <c r="H5" s="3">
        <v>8</v>
      </c>
      <c r="I5" s="3">
        <v>24</v>
      </c>
      <c r="J5" s="3">
        <f>F5+G5+H5+I5</f>
        <v>45</v>
      </c>
      <c r="K5" s="3" t="str" cm="1">
        <f t="array" ref="K5">_xlfn.IFS(J5&gt;=70,"A",J5&gt;=60,"B",J5&gt;=50,"C",J5&gt;=40,"P",J5&gt;=0,"F")</f>
        <v>P</v>
      </c>
      <c r="L5" s="3" t="str">
        <f t="shared" si="0"/>
        <v>Repeated</v>
      </c>
      <c r="M5" s="3" t="str" cm="1">
        <f t="array" ref="M5">_xlfn.IFS(J5&gt;=70,"Excellent",J5&gt;=60,"Good",J5&gt;=50,"Credit",J5&gt;=40,"Pass",J5&gt;=0,"Fail")</f>
        <v>Pass</v>
      </c>
    </row>
    <row r="6" spans="1:13" x14ac:dyDescent="0.25">
      <c r="A6" s="3">
        <v>1004</v>
      </c>
      <c r="B6" s="3" t="s">
        <v>15</v>
      </c>
      <c r="C6" s="3" t="s">
        <v>32</v>
      </c>
      <c r="D6" s="3" t="s">
        <v>63</v>
      </c>
      <c r="E6" s="3" t="s">
        <v>73</v>
      </c>
      <c r="F6" s="3">
        <v>10</v>
      </c>
      <c r="G6" s="3">
        <v>8</v>
      </c>
      <c r="H6" s="3">
        <v>15</v>
      </c>
      <c r="I6" s="3">
        <v>45</v>
      </c>
      <c r="J6" s="3">
        <f>F6+G6+H6+I6</f>
        <v>78</v>
      </c>
      <c r="K6" s="3" t="str" cm="1">
        <f t="array" ref="K6">_xlfn.IFS(J6&gt;=70,"A",J6&gt;=60,"B",J6&gt;=50,"C",J6&gt;=40,"P",J6&gt;=0,"F")</f>
        <v>A</v>
      </c>
      <c r="L6" s="3" t="str">
        <f t="shared" si="0"/>
        <v>Promoted</v>
      </c>
      <c r="M6" s="3" t="str" cm="1">
        <f t="array" ref="M6">_xlfn.IFS(J6&gt;=70,"Excellent",J6&gt;=60,"Good",J6&gt;=50,"Credit",J6&gt;=40,"Pass",J6&gt;=0,"Fail")</f>
        <v>Excellent</v>
      </c>
    </row>
    <row r="7" spans="1:13" x14ac:dyDescent="0.25">
      <c r="A7" s="3">
        <v>1005</v>
      </c>
      <c r="B7" s="3" t="s">
        <v>16</v>
      </c>
      <c r="C7" s="3" t="s">
        <v>33</v>
      </c>
      <c r="D7" s="3" t="s">
        <v>62</v>
      </c>
      <c r="E7" s="3" t="s">
        <v>74</v>
      </c>
      <c r="F7" s="3">
        <v>10</v>
      </c>
      <c r="G7" s="3">
        <v>7</v>
      </c>
      <c r="H7" s="3">
        <v>15</v>
      </c>
      <c r="I7" s="3">
        <v>49</v>
      </c>
      <c r="J7" s="3">
        <v>81</v>
      </c>
      <c r="K7" s="3" t="str" cm="1">
        <f t="array" ref="K7">_xlfn.IFS(J7&gt;=70,"A",J7&gt;=60,"B",J7&gt;=50,"C",J7&gt;=40,"P",J7&gt;=0,"F")</f>
        <v>A</v>
      </c>
      <c r="L7" s="3" t="str">
        <f t="shared" si="0"/>
        <v>Promoted</v>
      </c>
      <c r="M7" s="3" t="str" cm="1">
        <f t="array" ref="M7">_xlfn.IFS(J7&gt;=70,"Excellent",J7&gt;=60,"Good",J7&gt;=50,"Credit",J7&gt;=40,"Pass",J7&gt;=0,"Fail")</f>
        <v>Excellent</v>
      </c>
    </row>
    <row r="8" spans="1:13" x14ac:dyDescent="0.25">
      <c r="A8" s="3">
        <v>1006</v>
      </c>
      <c r="B8" s="3" t="s">
        <v>17</v>
      </c>
      <c r="C8" s="3" t="s">
        <v>12</v>
      </c>
      <c r="D8" s="3" t="s">
        <v>70</v>
      </c>
      <c r="E8" s="3" t="s">
        <v>73</v>
      </c>
      <c r="F8" s="3">
        <v>10</v>
      </c>
      <c r="G8" s="3">
        <v>8</v>
      </c>
      <c r="H8" s="3">
        <v>17</v>
      </c>
      <c r="I8" s="3">
        <v>51</v>
      </c>
      <c r="J8" s="3">
        <f t="shared" ref="J8:J23" si="1">F8+G8+H8+I8</f>
        <v>86</v>
      </c>
      <c r="K8" s="3" t="str" cm="1">
        <f t="array" ref="K8">_xlfn.IFS(J8&gt;=70,"A",J8&gt;=60,"B",J8&gt;=50,"C",J8&gt;=40,"P",J8&gt;=0,"F")</f>
        <v>A</v>
      </c>
      <c r="L8" s="3" t="str">
        <f t="shared" si="0"/>
        <v>Promoted</v>
      </c>
      <c r="M8" s="3" t="str" cm="1">
        <f t="array" ref="M8">_xlfn.IFS(J8&gt;=70,"Excellent",J8&gt;=60,"Good",J8&gt;=50,"Credit",J8&gt;=40,"Pass",J8&gt;=0,"Fail")</f>
        <v>Excellent</v>
      </c>
    </row>
    <row r="9" spans="1:13" x14ac:dyDescent="0.25">
      <c r="A9" s="3">
        <v>1007</v>
      </c>
      <c r="B9" s="3" t="s">
        <v>18</v>
      </c>
      <c r="C9" s="3" t="s">
        <v>34</v>
      </c>
      <c r="D9" s="3" t="s">
        <v>61</v>
      </c>
      <c r="E9" s="3" t="s">
        <v>73</v>
      </c>
      <c r="F9" s="3">
        <v>7</v>
      </c>
      <c r="G9" s="3">
        <v>5</v>
      </c>
      <c r="H9" s="3">
        <v>7</v>
      </c>
      <c r="I9" s="3">
        <v>28</v>
      </c>
      <c r="J9" s="3">
        <f t="shared" si="1"/>
        <v>47</v>
      </c>
      <c r="K9" s="3" t="str" cm="1">
        <f t="array" ref="K9">_xlfn.IFS(J9&gt;=70,"A",J9&gt;=60,"B",J9&gt;=50,"C",J9&gt;=40,"P",J9&gt;=0,"F")</f>
        <v>P</v>
      </c>
      <c r="L9" s="3" t="str">
        <f t="shared" si="0"/>
        <v>Repeated</v>
      </c>
      <c r="M9" s="3" t="str" cm="1">
        <f t="array" ref="M9">_xlfn.IFS(J9&gt;=70,"Excellent",J9&gt;=60,"Good",J9&gt;=50,"Credit",J9&gt;=40,"Pass",J9&gt;=0,"Fail")</f>
        <v>Pass</v>
      </c>
    </row>
    <row r="10" spans="1:13" x14ac:dyDescent="0.25">
      <c r="A10" s="3">
        <v>1008</v>
      </c>
      <c r="B10" s="3" t="s">
        <v>19</v>
      </c>
      <c r="C10" s="3" t="s">
        <v>35</v>
      </c>
      <c r="D10" s="3" t="s">
        <v>60</v>
      </c>
      <c r="E10" s="3" t="s">
        <v>73</v>
      </c>
      <c r="F10" s="3">
        <v>10</v>
      </c>
      <c r="G10" s="3">
        <v>10</v>
      </c>
      <c r="H10" s="3">
        <v>18</v>
      </c>
      <c r="I10" s="3">
        <v>55</v>
      </c>
      <c r="J10" s="3">
        <f t="shared" si="1"/>
        <v>93</v>
      </c>
      <c r="K10" s="3" t="str" cm="1">
        <f t="array" ref="K10">_xlfn.IFS(J10&gt;=70,"A",J10&gt;=60,"B",J10&gt;=50,"C",J10&gt;=40,"P",J10&gt;=0,"F")</f>
        <v>A</v>
      </c>
      <c r="L10" s="3" t="str">
        <f t="shared" si="0"/>
        <v>Promoted</v>
      </c>
      <c r="M10" s="3" t="str" cm="1">
        <f t="array" ref="M10">_xlfn.IFS(J10&gt;=70,"Excellent",J10&gt;=60,"Good",J10&gt;=50,"Credit",J10&gt;=40,"Pass",J10&gt;=0,"Fail")</f>
        <v>Excellent</v>
      </c>
    </row>
    <row r="11" spans="1:13" x14ac:dyDescent="0.25">
      <c r="A11" s="3">
        <v>1009</v>
      </c>
      <c r="B11" s="3" t="s">
        <v>20</v>
      </c>
      <c r="C11" s="3" t="s">
        <v>36</v>
      </c>
      <c r="D11" s="3" t="s">
        <v>59</v>
      </c>
      <c r="E11" s="3" t="s">
        <v>74</v>
      </c>
      <c r="F11" s="3">
        <v>9</v>
      </c>
      <c r="G11" s="3">
        <v>9</v>
      </c>
      <c r="H11" s="3">
        <v>18</v>
      </c>
      <c r="I11" s="3">
        <v>58</v>
      </c>
      <c r="J11" s="3">
        <f t="shared" si="1"/>
        <v>94</v>
      </c>
      <c r="K11" s="3" t="str" cm="1">
        <f t="array" ref="K11">_xlfn.IFS(J11&gt;=70,"A",J11&gt;=60,"B",J11&gt;=50,"C",J11&gt;=40,"P",J11&gt;=0,"F")</f>
        <v>A</v>
      </c>
      <c r="L11" s="3" t="str">
        <f t="shared" si="0"/>
        <v>Promoted</v>
      </c>
      <c r="M11" s="3" t="str" cm="1">
        <f t="array" ref="M11">_xlfn.IFS(J11&gt;=70,"Excellent",J11&gt;=60,"Good",J11&gt;=50,"Credit",J11&gt;=40,"Pass",J11&gt;=0,"Fail")</f>
        <v>Excellent</v>
      </c>
    </row>
    <row r="12" spans="1:13" x14ac:dyDescent="0.25">
      <c r="A12" s="3">
        <v>1010</v>
      </c>
      <c r="B12" s="3" t="s">
        <v>21</v>
      </c>
      <c r="C12" s="3" t="s">
        <v>37</v>
      </c>
      <c r="D12" s="3" t="s">
        <v>58</v>
      </c>
      <c r="E12" s="3" t="s">
        <v>73</v>
      </c>
      <c r="F12" s="3">
        <v>9</v>
      </c>
      <c r="G12" s="3">
        <v>7</v>
      </c>
      <c r="H12" s="3">
        <v>12</v>
      </c>
      <c r="I12" s="3">
        <v>40</v>
      </c>
      <c r="J12" s="3">
        <f t="shared" si="1"/>
        <v>68</v>
      </c>
      <c r="K12" s="3" t="str" cm="1">
        <f t="array" ref="K12">_xlfn.IFS(J12&gt;=70,"A",J12&gt;=60,"B",J12&gt;=50,"C",J12&gt;=40,"P",J12&gt;=0,"F")</f>
        <v>B</v>
      </c>
      <c r="L12" s="3" t="str">
        <f t="shared" si="0"/>
        <v>Promoted</v>
      </c>
      <c r="M12" s="3" t="str" cm="1">
        <f t="array" ref="M12">_xlfn.IFS(J12&gt;=70,"Excellent",J12&gt;=60,"Good",J12&gt;=50,"Credit",J12&gt;=40,"Pass",J12&gt;=0,"Fail")</f>
        <v>Good</v>
      </c>
    </row>
    <row r="13" spans="1:13" x14ac:dyDescent="0.25">
      <c r="A13" s="3">
        <v>1011</v>
      </c>
      <c r="B13" s="3" t="s">
        <v>22</v>
      </c>
      <c r="C13" s="3" t="s">
        <v>38</v>
      </c>
      <c r="D13" s="3" t="s">
        <v>57</v>
      </c>
      <c r="E13" s="3" t="s">
        <v>73</v>
      </c>
      <c r="F13" s="3">
        <v>10</v>
      </c>
      <c r="G13" s="3">
        <v>7</v>
      </c>
      <c r="H13" s="3">
        <v>10</v>
      </c>
      <c r="I13" s="3">
        <v>28</v>
      </c>
      <c r="J13" s="3">
        <f t="shared" si="1"/>
        <v>55</v>
      </c>
      <c r="K13" s="3" t="str" cm="1">
        <f t="array" ref="K13">_xlfn.IFS(J13&gt;=70,"A",J13&gt;=60,"B",J13&gt;=50,"C",J13&gt;=40,"P",J13&gt;=0,"F")</f>
        <v>C</v>
      </c>
      <c r="L13" s="3" t="str">
        <f t="shared" si="0"/>
        <v>Promoted</v>
      </c>
      <c r="M13" s="3" t="str" cm="1">
        <f t="array" ref="M13">_xlfn.IFS(J13&gt;=70,"Excellent",J13&gt;=60,"Good",J13&gt;=50,"Credit",J13&gt;=40,"Pass",J13&gt;=0,"Fail")</f>
        <v>Credit</v>
      </c>
    </row>
    <row r="14" spans="1:13" x14ac:dyDescent="0.25">
      <c r="A14" s="3">
        <v>1012</v>
      </c>
      <c r="B14" s="3" t="s">
        <v>20</v>
      </c>
      <c r="C14" s="3" t="s">
        <v>39</v>
      </c>
      <c r="D14" s="3" t="s">
        <v>55</v>
      </c>
      <c r="E14" s="3" t="s">
        <v>74</v>
      </c>
      <c r="F14" s="3">
        <v>8</v>
      </c>
      <c r="G14" s="3">
        <v>9</v>
      </c>
      <c r="H14" s="3">
        <v>17</v>
      </c>
      <c r="I14" s="3">
        <v>48</v>
      </c>
      <c r="J14" s="3">
        <f t="shared" si="1"/>
        <v>82</v>
      </c>
      <c r="K14" s="3" t="str" cm="1">
        <f t="array" ref="K14">_xlfn.IFS(J14&gt;=70,"A",J14&gt;=60,"B",J14&gt;=50,"C",J14&gt;=40,"P",J14&gt;=0,"F")</f>
        <v>A</v>
      </c>
      <c r="L14" s="3" t="str">
        <f t="shared" si="0"/>
        <v>Promoted</v>
      </c>
      <c r="M14" s="3" t="str" cm="1">
        <f t="array" ref="M14">_xlfn.IFS(J14&gt;=70,"Excellent",J14&gt;=60,"Good",J14&gt;=50,"Credit",J14&gt;=40,"Pass",J14&gt;=0,"Fail")</f>
        <v>Excellent</v>
      </c>
    </row>
    <row r="15" spans="1:13" x14ac:dyDescent="0.25">
      <c r="A15" s="3">
        <v>1013</v>
      </c>
      <c r="B15" s="3" t="s">
        <v>23</v>
      </c>
      <c r="C15" s="3" t="s">
        <v>40</v>
      </c>
      <c r="D15" s="3" t="s">
        <v>56</v>
      </c>
      <c r="E15" s="3" t="s">
        <v>73</v>
      </c>
      <c r="F15" s="3">
        <v>8</v>
      </c>
      <c r="G15" s="3">
        <v>6</v>
      </c>
      <c r="H15" s="3">
        <v>17</v>
      </c>
      <c r="I15" s="3">
        <v>52</v>
      </c>
      <c r="J15" s="3">
        <f t="shared" si="1"/>
        <v>83</v>
      </c>
      <c r="K15" s="3" t="str" cm="1">
        <f t="array" ref="K15">_xlfn.IFS(J15&gt;=70,"A",J15&gt;=60,"B",J15&gt;=50,"C",J15&gt;=40,"P",J15&gt;=0,"F")</f>
        <v>A</v>
      </c>
      <c r="L15" s="3" t="str">
        <f t="shared" si="0"/>
        <v>Promoted</v>
      </c>
      <c r="M15" s="3" t="str" cm="1">
        <f t="array" ref="M15">_xlfn.IFS(J15&gt;=70,"Excellent",J15&gt;=60,"Good",J15&gt;=50,"Credit",J15&gt;=40,"Pass",J15&gt;=0,"Fail")</f>
        <v>Excellent</v>
      </c>
    </row>
    <row r="16" spans="1:13" x14ac:dyDescent="0.25">
      <c r="A16" s="3">
        <v>1014</v>
      </c>
      <c r="B16" s="3" t="s">
        <v>26</v>
      </c>
      <c r="C16" s="3" t="s">
        <v>41</v>
      </c>
      <c r="D16" s="3" t="s">
        <v>54</v>
      </c>
      <c r="E16" s="3" t="s">
        <v>74</v>
      </c>
      <c r="F16" s="3">
        <v>8</v>
      </c>
      <c r="G16" s="3">
        <v>7</v>
      </c>
      <c r="H16" s="3">
        <v>14</v>
      </c>
      <c r="I16" s="3">
        <v>40</v>
      </c>
      <c r="J16" s="3">
        <f t="shared" si="1"/>
        <v>69</v>
      </c>
      <c r="K16" s="3" t="str" cm="1">
        <f t="array" ref="K16">_xlfn.IFS(J16&gt;=70,"A",J16&gt;=60,"B",J16&gt;=50,"C",J16&gt;=40,"P",J16&gt;=0,"F")</f>
        <v>B</v>
      </c>
      <c r="L16" s="3" t="str">
        <f t="shared" si="0"/>
        <v>Promoted</v>
      </c>
      <c r="M16" s="3" t="str" cm="1">
        <f t="array" ref="M16">_xlfn.IFS(J16&gt;=70,"Excellent",J16&gt;=60,"Good",J16&gt;=50,"Credit",J16&gt;=40,"Pass",J16&gt;=0,"Fail")</f>
        <v>Good</v>
      </c>
    </row>
    <row r="17" spans="1:13" x14ac:dyDescent="0.25">
      <c r="A17" s="3">
        <v>1015</v>
      </c>
      <c r="B17" s="3" t="s">
        <v>27</v>
      </c>
      <c r="C17" s="3" t="s">
        <v>42</v>
      </c>
      <c r="D17" s="3" t="s">
        <v>53</v>
      </c>
      <c r="E17" s="3" t="s">
        <v>74</v>
      </c>
      <c r="F17" s="3">
        <v>8</v>
      </c>
      <c r="G17" s="3">
        <v>7</v>
      </c>
      <c r="H17" s="3">
        <v>16</v>
      </c>
      <c r="I17" s="3">
        <v>42</v>
      </c>
      <c r="J17" s="3">
        <f t="shared" si="1"/>
        <v>73</v>
      </c>
      <c r="K17" s="3" t="str" cm="1">
        <f t="array" ref="K17">_xlfn.IFS(J17&gt;=70,"A",J17&gt;=60,"B",J17&gt;=50,"C",J17&gt;=40,"P",J17&gt;=0,"F")</f>
        <v>A</v>
      </c>
      <c r="L17" s="3" t="str">
        <f t="shared" si="0"/>
        <v>Promoted</v>
      </c>
      <c r="M17" s="3" t="str" cm="1">
        <f t="array" ref="M17">_xlfn.IFS(J17&gt;=70,"Excellent",J17&gt;=60,"Good",J17&gt;=50,"Credit",J17&gt;=40,"Pass",J17&gt;=0,"Fail")</f>
        <v>Excellent</v>
      </c>
    </row>
    <row r="18" spans="1:13" x14ac:dyDescent="0.25">
      <c r="A18" s="3">
        <v>1016</v>
      </c>
      <c r="B18" s="3" t="s">
        <v>28</v>
      </c>
      <c r="C18" s="3" t="s">
        <v>43</v>
      </c>
      <c r="D18" s="3" t="s">
        <v>52</v>
      </c>
      <c r="E18" s="3" t="s">
        <v>74</v>
      </c>
      <c r="F18" s="3">
        <v>10</v>
      </c>
      <c r="G18" s="3">
        <v>6</v>
      </c>
      <c r="H18" s="3">
        <v>17</v>
      </c>
      <c r="I18" s="3">
        <v>49</v>
      </c>
      <c r="J18" s="3">
        <f t="shared" si="1"/>
        <v>82</v>
      </c>
      <c r="K18" s="3" t="str" cm="1">
        <f t="array" ref="K18">_xlfn.IFS(J18&gt;=70,"A",J18&gt;=60,"B",J18&gt;=50,"C",J18&gt;=40,"P",J18&gt;=0,"F")</f>
        <v>A</v>
      </c>
      <c r="L18" s="3" t="str">
        <f t="shared" si="0"/>
        <v>Promoted</v>
      </c>
      <c r="M18" s="3" t="str" cm="1">
        <f t="array" ref="M18">_xlfn.IFS(J18&gt;=70,"Excellent",J18&gt;=60,"Good",J18&gt;=50,"Credit",J18&gt;=40,"Pass",J18&gt;=0,"Fail")</f>
        <v>Excellent</v>
      </c>
    </row>
    <row r="19" spans="1:13" x14ac:dyDescent="0.25">
      <c r="A19" s="3">
        <v>1017</v>
      </c>
      <c r="B19" s="3" t="s">
        <v>29</v>
      </c>
      <c r="C19" s="3" t="s">
        <v>44</v>
      </c>
      <c r="D19" s="3" t="s">
        <v>51</v>
      </c>
      <c r="E19" s="3" t="s">
        <v>74</v>
      </c>
      <c r="F19" s="3">
        <v>7</v>
      </c>
      <c r="G19" s="3">
        <v>5</v>
      </c>
      <c r="H19" s="3">
        <v>10</v>
      </c>
      <c r="I19" s="3">
        <v>30</v>
      </c>
      <c r="J19" s="3">
        <f t="shared" si="1"/>
        <v>52</v>
      </c>
      <c r="K19" s="3" t="str" cm="1">
        <f t="array" ref="K19">_xlfn.IFS(J19&gt;=70,"A",J19&gt;=60,"B",J19&gt;=50,"C",J19&gt;=40,"P",J19&gt;=0,"F")</f>
        <v>C</v>
      </c>
      <c r="L19" s="3" t="str">
        <f t="shared" si="0"/>
        <v>Promoted</v>
      </c>
      <c r="M19" s="3" t="str" cm="1">
        <f t="array" ref="M19">_xlfn.IFS(J19&gt;=70,"Excellent",J19&gt;=60,"Good",J19&gt;=50,"Credit",J19&gt;=40,"Pass",J19&gt;=0,"Fail")</f>
        <v>Credit</v>
      </c>
    </row>
    <row r="20" spans="1:13" x14ac:dyDescent="0.25">
      <c r="A20" s="3">
        <v>1018</v>
      </c>
      <c r="B20" s="3" t="s">
        <v>24</v>
      </c>
      <c r="C20" s="3" t="s">
        <v>45</v>
      </c>
      <c r="D20" s="3" t="s">
        <v>50</v>
      </c>
      <c r="E20" s="3" t="s">
        <v>73</v>
      </c>
      <c r="F20" s="3">
        <v>6</v>
      </c>
      <c r="G20" s="3">
        <v>7</v>
      </c>
      <c r="H20" s="3">
        <v>15</v>
      </c>
      <c r="I20" s="3">
        <v>51</v>
      </c>
      <c r="J20" s="3">
        <f t="shared" si="1"/>
        <v>79</v>
      </c>
      <c r="K20" s="3" t="str" cm="1">
        <f t="array" ref="K20">_xlfn.IFS(J20&gt;=70,"A",J20&gt;=60,"B",J20&gt;=50,"C",J20&gt;=40,"P",J20&gt;=0,"F")</f>
        <v>A</v>
      </c>
      <c r="L20" s="3" t="str">
        <f t="shared" si="0"/>
        <v>Promoted</v>
      </c>
      <c r="M20" s="3" t="str" cm="1">
        <f t="array" ref="M20">_xlfn.IFS(J20&gt;=70,"Excellent",J20&gt;=60,"Good",J20&gt;=50,"Credit",J20&gt;=40,"Pass",J20&gt;=0,"Fail")</f>
        <v>Excellent</v>
      </c>
    </row>
    <row r="21" spans="1:13" x14ac:dyDescent="0.25">
      <c r="A21" s="3">
        <v>1019</v>
      </c>
      <c r="B21" s="3" t="s">
        <v>25</v>
      </c>
      <c r="C21" s="3" t="s">
        <v>46</v>
      </c>
      <c r="D21" s="3" t="s">
        <v>49</v>
      </c>
      <c r="E21" s="3" t="s">
        <v>73</v>
      </c>
      <c r="F21" s="3">
        <v>10</v>
      </c>
      <c r="G21" s="3">
        <v>7</v>
      </c>
      <c r="H21" s="3">
        <v>16</v>
      </c>
      <c r="I21" s="3">
        <v>45</v>
      </c>
      <c r="J21" s="3">
        <f t="shared" si="1"/>
        <v>78</v>
      </c>
      <c r="K21" s="3" t="str" cm="1">
        <f t="array" ref="K21">_xlfn.IFS(J21&gt;=70,"A",J21&gt;=60,"B",J21&gt;=50,"C",J21&gt;=40,"P",J21&gt;=0,"F")</f>
        <v>A</v>
      </c>
      <c r="L21" s="3" t="str">
        <f t="shared" si="0"/>
        <v>Promoted</v>
      </c>
      <c r="M21" s="3" t="str" cm="1">
        <f t="array" ref="M21">_xlfn.IFS(J21&gt;=70,"Excellent",J21&gt;=60,"Good",J21&gt;=50,"Credit",J21&gt;=40,"Pass",J21&gt;=0,"Fail")</f>
        <v>Excellent</v>
      </c>
    </row>
    <row r="22" spans="1:13" x14ac:dyDescent="0.25">
      <c r="A22" s="3">
        <v>1020</v>
      </c>
      <c r="B22" s="3" t="s">
        <v>22</v>
      </c>
      <c r="C22" s="3" t="s">
        <v>47</v>
      </c>
      <c r="D22" s="3" t="s">
        <v>48</v>
      </c>
      <c r="E22" s="3" t="s">
        <v>73</v>
      </c>
      <c r="F22" s="3">
        <v>7</v>
      </c>
      <c r="G22" s="3">
        <v>5</v>
      </c>
      <c r="H22" s="3">
        <v>8</v>
      </c>
      <c r="I22" s="3">
        <v>35</v>
      </c>
      <c r="J22" s="3">
        <f t="shared" si="1"/>
        <v>55</v>
      </c>
      <c r="K22" s="3" t="str" cm="1">
        <f t="array" ref="K22">_xlfn.IFS(J22&gt;=70,"A",J22&gt;=60,"B",J22&gt;=50,"C",J22&gt;=40,"P",J22&gt;=0,"F")</f>
        <v>C</v>
      </c>
      <c r="L22" s="3" t="str">
        <f t="shared" si="0"/>
        <v>Promoted</v>
      </c>
      <c r="M22" s="3" t="str" cm="1">
        <f t="array" ref="M22">_xlfn.IFS(J22&gt;=70,"Excellent",J22&gt;=60,"Good",J22&gt;=50,"Credit",J22&gt;=40,"Pass",J22&gt;=0,"Fail")</f>
        <v>Credit</v>
      </c>
    </row>
    <row r="23" spans="1:13" x14ac:dyDescent="0.25">
      <c r="A23" s="3">
        <v>1021</v>
      </c>
      <c r="B23" s="3" t="s">
        <v>67</v>
      </c>
      <c r="C23" s="3" t="s">
        <v>68</v>
      </c>
      <c r="D23" s="3" t="s">
        <v>69</v>
      </c>
      <c r="E23" s="3" t="s">
        <v>73</v>
      </c>
      <c r="F23" s="3">
        <v>10</v>
      </c>
      <c r="G23" s="3">
        <v>6</v>
      </c>
      <c r="H23" s="3">
        <v>14</v>
      </c>
      <c r="I23" s="3">
        <v>48</v>
      </c>
      <c r="J23" s="3">
        <f t="shared" si="1"/>
        <v>78</v>
      </c>
      <c r="K23" s="3" t="str" cm="1">
        <f t="array" ref="K23">_xlfn.IFS(J23&gt;=70,"A",J23&gt;=60,"B",J23&gt;=50,"C",J23&gt;=40,"P",J23&gt;=0,"F")</f>
        <v>A</v>
      </c>
      <c r="L23" s="3" t="str">
        <f t="shared" si="0"/>
        <v>Promoted</v>
      </c>
      <c r="M23" s="3" t="str" cm="1">
        <f t="array" ref="M23">_xlfn.IFS(J23&gt;=70,"Excellent",J23&gt;=60,"Good",J23&gt;=50,"Credit",J23&gt;=40,"Pass",J23&gt;=0,"Fail")</f>
        <v>Excellent</v>
      </c>
    </row>
  </sheetData>
  <mergeCells count="1">
    <mergeCell ref="A1:J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D3A89-544A-45C2-B871-224C4306553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HomePC</dc:creator>
  <cp:lastModifiedBy>Chinenye Ruth</cp:lastModifiedBy>
  <dcterms:created xsi:type="dcterms:W3CDTF">2026-01-30T17:56:42Z</dcterms:created>
  <dcterms:modified xsi:type="dcterms:W3CDTF">2026-02-02T10:05:59Z</dcterms:modified>
</cp:coreProperties>
</file>